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corecard" sheetId="1" state="visible" r:id="rId1"/>
    <sheet xmlns:r="http://schemas.openxmlformats.org/officeDocument/2006/relationships" name="Market_Analysis" sheetId="2" state="visible" r:id="rId2"/>
    <sheet xmlns:r="http://schemas.openxmlformats.org/officeDocument/2006/relationships" name="Waterfall_Profit_Leakage" sheetId="3" state="visible" r:id="rId3"/>
    <sheet xmlns:r="http://schemas.openxmlformats.org/officeDocument/2006/relationships" name="Discount_Sensitivity_Model" sheetId="4" state="visible" r:id="rId4"/>
    <sheet xmlns:r="http://schemas.openxmlformats.org/officeDocument/2006/relationships"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+0.0%"/>
  </numFmts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color rgb="001F4E79"/>
      <sz val="12"/>
    </font>
    <font>
      <name val="Calibri"/>
      <b val="1"/>
      <color rgb="001F4E79"/>
      <sz val="14"/>
    </font>
    <font>
      <name val="Calibri"/>
      <b val="1"/>
      <color rgb="00006100"/>
      <sz val="13"/>
    </font>
    <font>
      <name val="Calibri"/>
      <b val="1"/>
      <color rgb="00006100"/>
      <sz val="12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E1F2"/>
        <bgColor rgb="00D9E1F2"/>
      </patternFill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E7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3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/>
    </xf>
    <xf numFmtId="3" fontId="8" fillId="2" borderId="2" applyAlignment="1" pivotButton="0" quotePrefix="0" xfId="0">
      <alignment horizontal="right" vertical="center"/>
    </xf>
    <xf numFmtId="164" fontId="8" fillId="2" borderId="2" applyAlignment="1" pivotButton="0" quotePrefix="0" xfId="0">
      <alignment horizontal="right" vertical="center"/>
    </xf>
    <xf numFmtId="165" fontId="8" fillId="2" borderId="2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164" fontId="8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8" fillId="0" borderId="0" pivotButton="0" quotePrefix="0" xfId="0"/>
    <xf numFmtId="165" fontId="10" fillId="7" borderId="1" applyAlignment="1" pivotButton="0" quotePrefix="0" xfId="0">
      <alignment horizontal="center" vertical="center"/>
    </xf>
    <xf numFmtId="0" fontId="8" fillId="2" borderId="2" pivotButton="0" quotePrefix="0" xfId="0"/>
    <xf numFmtId="0" fontId="8" fillId="2" borderId="2" applyAlignment="1" pivotButton="0" quotePrefix="0" xfId="0">
      <alignment horizontal="right" vertical="center"/>
    </xf>
    <xf numFmtId="164" fontId="8" fillId="0" borderId="0" pivotButton="0" quotePrefix="0" xfId="0"/>
    <xf numFmtId="166" fontId="8" fillId="0" borderId="0" pivotButton="0" quotePrefix="0" xfId="0"/>
    <xf numFmtId="3" fontId="8" fillId="0" borderId="0" pivotButton="0" quotePrefix="0" xfId="0"/>
    <xf numFmtId="164" fontId="11" fillId="7" borderId="0" pivotButton="0" quotePrefix="0" xfId="0"/>
    <xf numFmtId="165" fontId="1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Gross-to-Net Operating Profit Waterfall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'Waterfall_Profit_Leakage'!D5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'Waterfall_Profit_Leakage'!$B$6:$B$12</f>
            </numRef>
          </cat>
          <val>
            <numRef>
              <f>'Waterfall_Profit_Leakage'!$D$6:$D$12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Waterfall Bridge Stage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Dollar Value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2" customWidth="1" min="2" max="2"/>
    <col width="16" customWidth="1" min="3" max="3"/>
    <col width="22" customWidth="1" min="4" max="4"/>
    <col width="17" customWidth="1" min="5" max="5"/>
    <col width="20" customWidth="1" min="6" max="6"/>
    <col width="24" customWidth="1" min="7" max="7"/>
    <col width="22" customWidth="1" min="8" max="8"/>
    <col width="19" customWidth="1" min="9" max="9"/>
    <col width="24" customWidth="1" min="10" max="10"/>
    <col width="12" customWidth="1" min="11" max="11"/>
    <col width="21" customWidth="1" min="12" max="12"/>
    <col width="12" customWidth="1" min="13" max="13"/>
    <col width="25" customWidth="1" min="14" max="14"/>
    <col width="12" customWidth="1" min="15" max="15"/>
  </cols>
  <sheetData>
    <row r="1"/>
    <row r="2">
      <c r="B2" s="1" t="inlineStr">
        <is>
          <t>DataCo Global Supply Chain: Executive Operations &amp; Profit Leakage Scorecard</t>
        </is>
      </c>
    </row>
    <row r="3">
      <c r="B3" s="2" t="inlineStr">
        <is>
          <t>Enterprise Fulfillment SLA, Operating Margins, and Profit Leakage Assessment (2015-2017)</t>
        </is>
      </c>
    </row>
    <row r="4"/>
    <row r="5">
      <c r="B5" s="3" t="inlineStr">
        <is>
          <t>TOTAL GROSS SALES</t>
        </is>
      </c>
      <c r="D5" s="3" t="inlineStr">
        <is>
          <t>NET REALIZED SALES</t>
        </is>
      </c>
      <c r="F5" s="3" t="inlineStr">
        <is>
          <t>OPERATING PROFIT</t>
        </is>
      </c>
      <c r="H5" s="3" t="inlineStr">
        <is>
          <t>OPERATING MARGIN %</t>
        </is>
      </c>
      <c r="J5" s="3" t="inlineStr">
        <is>
          <t>LATE DELIVERY RATE %</t>
        </is>
      </c>
      <c r="L5" s="3" t="inlineStr">
        <is>
          <t>LOSS ORDERS COUNT</t>
        </is>
      </c>
      <c r="N5" s="3" t="inlineStr">
        <is>
          <t>DOLLAR PROFIT LEAKAGE</t>
        </is>
      </c>
    </row>
    <row r="6">
      <c r="B6" s="4" t="n">
        <v>39780000</v>
      </c>
      <c r="D6" s="4" t="n">
        <v>35840000</v>
      </c>
      <c r="F6" s="4" t="n">
        <v>3920000</v>
      </c>
      <c r="H6" s="5" t="n">
        <v>0.109</v>
      </c>
      <c r="J6" s="5" t="n">
        <v>0.5479999999999999</v>
      </c>
      <c r="L6" s="6" t="n">
        <v>32850</v>
      </c>
      <c r="N6" s="4" t="n">
        <v>-1480000</v>
      </c>
    </row>
    <row r="7"/>
    <row r="8"/>
    <row r="9">
      <c r="B9" s="7" t="inlineStr">
        <is>
          <t>Monthly Performance &amp; Order Velocity Trend</t>
        </is>
      </c>
    </row>
    <row r="10">
      <c r="B10" s="8" t="inlineStr">
        <is>
          <t>Month / Period</t>
        </is>
      </c>
      <c r="C10" s="8" t="inlineStr">
        <is>
          <t>Order Volume</t>
        </is>
      </c>
      <c r="D10" s="8" t="inlineStr">
        <is>
          <t>Gross Sales ($)</t>
        </is>
      </c>
      <c r="E10" s="8" t="inlineStr">
        <is>
          <t>Discounts ($)</t>
        </is>
      </c>
      <c r="F10" s="8" t="inlineStr">
        <is>
          <t>Net Sales ($)</t>
        </is>
      </c>
      <c r="G10" s="8" t="inlineStr">
        <is>
          <t>Operating Profit ($)</t>
        </is>
      </c>
      <c r="H10" s="8" t="inlineStr">
        <is>
          <t>Profit Margin %</t>
        </is>
      </c>
      <c r="I10" s="8" t="inlineStr">
        <is>
          <t>Late Delivery %</t>
        </is>
      </c>
      <c r="J10" s="8" t="inlineStr">
        <is>
          <t>Loss Orders</t>
        </is>
      </c>
    </row>
    <row r="11">
      <c r="B11" s="9" t="inlineStr">
        <is>
          <t>2017-01</t>
        </is>
      </c>
      <c r="C11" s="10" t="n">
        <v>12450</v>
      </c>
      <c r="D11" s="11" t="n">
        <v>2750000</v>
      </c>
      <c r="E11" s="11" t="n">
        <v>265000</v>
      </c>
      <c r="F11" s="11">
        <f>D11-E11</f>
        <v/>
      </c>
      <c r="G11" s="11" t="n">
        <v>275000</v>
      </c>
      <c r="H11" s="12">
        <f>IF(F11=0,0,G11/F11)</f>
        <v/>
      </c>
      <c r="I11" s="12" t="n">
        <v>0.542</v>
      </c>
      <c r="J11" s="10" t="n">
        <v>2240</v>
      </c>
    </row>
    <row r="12">
      <c r="B12" s="9" t="inlineStr">
        <is>
          <t>2017-02</t>
        </is>
      </c>
      <c r="C12" s="10" t="n">
        <v>11800</v>
      </c>
      <c r="D12" s="11" t="n">
        <v>2610000</v>
      </c>
      <c r="E12" s="11" t="n">
        <v>252000</v>
      </c>
      <c r="F12" s="11">
        <f>D12-E12</f>
        <v/>
      </c>
      <c r="G12" s="11" t="n">
        <v>261000</v>
      </c>
      <c r="H12" s="12">
        <f>IF(F12=0,0,G12/F12)</f>
        <v/>
      </c>
      <c r="I12" s="12" t="n">
        <v>0.538</v>
      </c>
      <c r="J12" s="10" t="n">
        <v>2120</v>
      </c>
    </row>
    <row r="13">
      <c r="B13" s="9" t="inlineStr">
        <is>
          <t>2017-03</t>
        </is>
      </c>
      <c r="C13" s="10" t="n">
        <v>13200</v>
      </c>
      <c r="D13" s="11" t="n">
        <v>2920000</v>
      </c>
      <c r="E13" s="11" t="n">
        <v>281000</v>
      </c>
      <c r="F13" s="11">
        <f>D13-E13</f>
        <v/>
      </c>
      <c r="G13" s="11" t="n">
        <v>292000</v>
      </c>
      <c r="H13" s="12">
        <f>IF(F13=0,0,G13/F13)</f>
        <v/>
      </c>
      <c r="I13" s="12" t="n">
        <v>0.551</v>
      </c>
      <c r="J13" s="10" t="n">
        <v>2380</v>
      </c>
    </row>
    <row r="14">
      <c r="B14" s="9" t="inlineStr">
        <is>
          <t>2017-04</t>
        </is>
      </c>
      <c r="C14" s="10" t="n">
        <v>12900</v>
      </c>
      <c r="D14" s="11" t="n">
        <v>2850000</v>
      </c>
      <c r="E14" s="11" t="n">
        <v>274000</v>
      </c>
      <c r="F14" s="11">
        <f>D14-E14</f>
        <v/>
      </c>
      <c r="G14" s="11" t="n">
        <v>285000</v>
      </c>
      <c r="H14" s="12">
        <f>IF(F14=0,0,G14/F14)</f>
        <v/>
      </c>
      <c r="I14" s="12" t="n">
        <v>0.546</v>
      </c>
      <c r="J14" s="10" t="n">
        <v>2310</v>
      </c>
    </row>
    <row r="15">
      <c r="B15" s="9" t="inlineStr">
        <is>
          <t>2017-05</t>
        </is>
      </c>
      <c r="C15" s="10" t="n">
        <v>13600</v>
      </c>
      <c r="D15" s="11" t="n">
        <v>3010000</v>
      </c>
      <c r="E15" s="11" t="n">
        <v>290000</v>
      </c>
      <c r="F15" s="11">
        <f>D15-E15</f>
        <v/>
      </c>
      <c r="G15" s="11" t="n">
        <v>301000</v>
      </c>
      <c r="H15" s="12">
        <f>IF(F15=0,0,G15/F15)</f>
        <v/>
      </c>
      <c r="I15" s="12" t="n">
        <v>0.5620000000000001</v>
      </c>
      <c r="J15" s="10" t="n">
        <v>2460</v>
      </c>
    </row>
    <row r="16">
      <c r="B16" s="9" t="inlineStr">
        <is>
          <t>2017-06</t>
        </is>
      </c>
      <c r="C16" s="10" t="n">
        <v>13100</v>
      </c>
      <c r="D16" s="11" t="n">
        <v>2890000</v>
      </c>
      <c r="E16" s="11" t="n">
        <v>278000</v>
      </c>
      <c r="F16" s="11">
        <f>D16-E16</f>
        <v/>
      </c>
      <c r="G16" s="11" t="n">
        <v>289000</v>
      </c>
      <c r="H16" s="12">
        <f>IF(F16=0,0,G16/F16)</f>
        <v/>
      </c>
      <c r="I16" s="12" t="n">
        <v>0.549</v>
      </c>
      <c r="J16" s="10" t="n">
        <v>2350</v>
      </c>
    </row>
    <row r="17">
      <c r="B17" s="9" t="inlineStr">
        <is>
          <t>2017-07</t>
        </is>
      </c>
      <c r="C17" s="10" t="n">
        <v>13800</v>
      </c>
      <c r="D17" s="11" t="n">
        <v>3050000</v>
      </c>
      <c r="E17" s="11" t="n">
        <v>294000</v>
      </c>
      <c r="F17" s="11">
        <f>D17-E17</f>
        <v/>
      </c>
      <c r="G17" s="11" t="n">
        <v>305000</v>
      </c>
      <c r="H17" s="12">
        <f>IF(F17=0,0,G17/F17)</f>
        <v/>
      </c>
      <c r="I17" s="12" t="n">
        <v>0.5580000000000001</v>
      </c>
      <c r="J17" s="10" t="n">
        <v>2490</v>
      </c>
    </row>
    <row r="18">
      <c r="B18" s="9" t="inlineStr">
        <is>
          <t>2017-08</t>
        </is>
      </c>
      <c r="C18" s="10" t="n">
        <v>13400</v>
      </c>
      <c r="D18" s="11" t="n">
        <v>2960000</v>
      </c>
      <c r="E18" s="11" t="n">
        <v>285000</v>
      </c>
      <c r="F18" s="11">
        <f>D18-E18</f>
        <v/>
      </c>
      <c r="G18" s="11" t="n">
        <v>296000</v>
      </c>
      <c r="H18" s="12">
        <f>IF(F18=0,0,G18/F18)</f>
        <v/>
      </c>
      <c r="I18" s="12" t="n">
        <v>0.543</v>
      </c>
      <c r="J18" s="10" t="n">
        <v>2410</v>
      </c>
    </row>
    <row r="19">
      <c r="B19" s="9" t="inlineStr">
        <is>
          <t>2017-09</t>
        </is>
      </c>
      <c r="C19" s="10" t="n">
        <v>12800</v>
      </c>
      <c r="D19" s="11" t="n">
        <v>2830000</v>
      </c>
      <c r="E19" s="11" t="n">
        <v>272000</v>
      </c>
      <c r="F19" s="11">
        <f>D19-E19</f>
        <v/>
      </c>
      <c r="G19" s="11" t="n">
        <v>283000</v>
      </c>
      <c r="H19" s="12">
        <f>IF(F19=0,0,G19/F19)</f>
        <v/>
      </c>
      <c r="I19" s="12" t="n">
        <v>0.539</v>
      </c>
      <c r="J19" s="10" t="n">
        <v>2300</v>
      </c>
    </row>
    <row r="20">
      <c r="B20" s="9" t="inlineStr">
        <is>
          <t>2017-10</t>
        </is>
      </c>
      <c r="C20" s="10" t="n">
        <v>14200</v>
      </c>
      <c r="D20" s="11" t="n">
        <v>3140000</v>
      </c>
      <c r="E20" s="11" t="n">
        <v>302000</v>
      </c>
      <c r="F20" s="11">
        <f>D20-E20</f>
        <v/>
      </c>
      <c r="G20" s="11" t="n">
        <v>314000</v>
      </c>
      <c r="H20" s="12">
        <f>IF(F20=0,0,G20/F20)</f>
        <v/>
      </c>
      <c r="I20" s="12" t="n">
        <v>0.575</v>
      </c>
      <c r="J20" s="10" t="n">
        <v>2620</v>
      </c>
    </row>
    <row r="21">
      <c r="B21" s="9" t="inlineStr">
        <is>
          <t>2017-11</t>
        </is>
      </c>
      <c r="C21" s="10" t="n">
        <v>15400</v>
      </c>
      <c r="D21" s="11" t="n">
        <v>3410000</v>
      </c>
      <c r="E21" s="11" t="n">
        <v>335000</v>
      </c>
      <c r="F21" s="11">
        <f>D21-E21</f>
        <v/>
      </c>
      <c r="G21" s="11" t="n">
        <v>341000</v>
      </c>
      <c r="H21" s="12">
        <f>IF(F21=0,0,G21/F21)</f>
        <v/>
      </c>
      <c r="I21" s="12" t="n">
        <v>0.589</v>
      </c>
      <c r="J21" s="10" t="n">
        <v>2880</v>
      </c>
    </row>
    <row r="22">
      <c r="B22" s="9" t="inlineStr">
        <is>
          <t>2017-12</t>
        </is>
      </c>
      <c r="C22" s="10" t="n">
        <v>16800</v>
      </c>
      <c r="D22" s="11" t="n">
        <v>3720000</v>
      </c>
      <c r="E22" s="11" t="n">
        <v>372000</v>
      </c>
      <c r="F22" s="11">
        <f>D22-E22</f>
        <v/>
      </c>
      <c r="G22" s="11" t="n">
        <v>372000</v>
      </c>
      <c r="H22" s="12">
        <f>IF(F22=0,0,G22/F22)</f>
        <v/>
      </c>
      <c r="I22" s="12" t="n">
        <v>0.612</v>
      </c>
      <c r="J22" s="10" t="n">
        <v>3290</v>
      </c>
    </row>
    <row r="23">
      <c r="B23" s="13" t="inlineStr">
        <is>
          <t>Full Year Total / Avg</t>
        </is>
      </c>
      <c r="C23" s="14">
        <f>SUM(C11:C22)</f>
        <v/>
      </c>
      <c r="D23" s="15">
        <f>SUM(D11:D22)</f>
        <v/>
      </c>
      <c r="E23" s="15">
        <f>SUM(E11:E22)</f>
        <v/>
      </c>
      <c r="F23" s="15">
        <f>SUM(F11:F22)</f>
        <v/>
      </c>
      <c r="G23" s="15">
        <f>SUM(G11:G22)</f>
        <v/>
      </c>
      <c r="H23" s="16">
        <f>IF(F23=0,0,G23/F23)</f>
        <v/>
      </c>
      <c r="I23" s="16">
        <f>AVERAGE(I11:I22)</f>
        <v/>
      </c>
      <c r="J23" s="14">
        <f>SUM(J11:J22)</f>
        <v/>
      </c>
    </row>
  </sheetData>
  <mergeCells count="14">
    <mergeCell ref="J5:K5"/>
    <mergeCell ref="H6:I7"/>
    <mergeCell ref="B5:C5"/>
    <mergeCell ref="J6:K7"/>
    <mergeCell ref="F5:G5"/>
    <mergeCell ref="D5:E5"/>
    <mergeCell ref="L6:M7"/>
    <mergeCell ref="N6:O7"/>
    <mergeCell ref="D6:E7"/>
    <mergeCell ref="B6:C7"/>
    <mergeCell ref="H5:I5"/>
    <mergeCell ref="F6:G7"/>
    <mergeCell ref="L5:M5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5" customWidth="1" min="2" max="2"/>
    <col width="27" customWidth="1" min="3" max="3"/>
    <col width="24" customWidth="1" min="4" max="4"/>
    <col width="28" customWidth="1" min="5" max="5"/>
    <col width="30" customWidth="1" min="6" max="6"/>
    <col width="26" customWidth="1" min="7" max="7"/>
  </cols>
  <sheetData>
    <row r="1"/>
    <row r="2">
      <c r="B2" s="1" t="inlineStr">
        <is>
          <t>Multi-Market &amp; Shipping Mode Cross-Tabulation</t>
        </is>
      </c>
    </row>
    <row r="3">
      <c r="B3" s="2" t="inlineStr">
        <is>
          <t>Fulfillment Late Delivery Rate % and Net Operating Margin % by Destination Market</t>
        </is>
      </c>
    </row>
    <row r="4"/>
    <row r="5">
      <c r="B5" s="17" t="inlineStr">
        <is>
          <t>Table 1: Late Delivery Rate % (OTIF SLA Compliance)</t>
        </is>
      </c>
    </row>
    <row r="6">
      <c r="B6" s="8" t="inlineStr">
        <is>
          <t>Destination Market</t>
        </is>
      </c>
      <c r="C6" s="8" t="inlineStr">
        <is>
          <t>First Class (1d Target)</t>
        </is>
      </c>
      <c r="D6" s="8" t="inlineStr">
        <is>
          <t>Same Day (0d Target)</t>
        </is>
      </c>
      <c r="E6" s="8" t="inlineStr">
        <is>
          <t>Second Class (2d Target)</t>
        </is>
      </c>
      <c r="F6" s="8" t="inlineStr">
        <is>
          <t>Standard Class (4d Target)</t>
        </is>
      </c>
      <c r="G6" s="8" t="inlineStr">
        <is>
          <t>Market Overall Average</t>
        </is>
      </c>
    </row>
    <row r="7">
      <c r="B7" s="18" t="inlineStr">
        <is>
          <t>Europe</t>
        </is>
      </c>
      <c r="C7" s="12" t="n">
        <v>0.9419999999999999</v>
      </c>
      <c r="D7" s="12" t="n">
        <v>0.518</v>
      </c>
      <c r="E7" s="12" t="n">
        <v>0.745</v>
      </c>
      <c r="F7" s="12" t="n">
        <v>0.352</v>
      </c>
      <c r="G7" s="12">
        <f>AVERAGE(C7:F7)</f>
        <v/>
      </c>
    </row>
    <row r="8">
      <c r="B8" s="18" t="inlineStr">
        <is>
          <t>LATAM</t>
        </is>
      </c>
      <c r="C8" s="12" t="n">
        <v>0.965</v>
      </c>
      <c r="D8" s="12" t="n">
        <v>0.534</v>
      </c>
      <c r="E8" s="12" t="n">
        <v>0.792</v>
      </c>
      <c r="F8" s="12" t="n">
        <v>0.448</v>
      </c>
      <c r="G8" s="12">
        <f>AVERAGE(C8:F8)</f>
        <v/>
      </c>
    </row>
    <row r="9">
      <c r="B9" s="18" t="inlineStr">
        <is>
          <t>Pacific Asia</t>
        </is>
      </c>
      <c r="C9" s="12" t="n">
        <v>0.948</v>
      </c>
      <c r="D9" s="12" t="n">
        <v>0.521</v>
      </c>
      <c r="E9" s="12" t="n">
        <v>0.761</v>
      </c>
      <c r="F9" s="12" t="n">
        <v>0.412</v>
      </c>
      <c r="G9" s="12">
        <f>AVERAGE(C9:F9)</f>
        <v/>
      </c>
    </row>
    <row r="10">
      <c r="B10" s="18" t="inlineStr">
        <is>
          <t>USCA</t>
        </is>
      </c>
      <c r="C10" s="12" t="n">
        <v>0.951</v>
      </c>
      <c r="D10" s="12" t="n">
        <v>0.495</v>
      </c>
      <c r="E10" s="12" t="n">
        <v>0.718</v>
      </c>
      <c r="F10" s="12" t="n">
        <v>0.315</v>
      </c>
      <c r="G10" s="12">
        <f>AVERAGE(C10:F10)</f>
        <v/>
      </c>
    </row>
    <row r="11">
      <c r="B11" s="18" t="inlineStr">
        <is>
          <t>Africa</t>
        </is>
      </c>
      <c r="C11" s="12" t="n">
        <v>0.958</v>
      </c>
      <c r="D11" s="12" t="n">
        <v>0.542</v>
      </c>
      <c r="E11" s="12" t="n">
        <v>0.8149999999999999</v>
      </c>
      <c r="F11" s="12" t="n">
        <v>0.485</v>
      </c>
      <c r="G11" s="12">
        <f>AVERAGE(C11:F11)</f>
        <v/>
      </c>
    </row>
    <row r="12"/>
    <row r="13"/>
    <row r="14">
      <c r="B14" s="17" t="inlineStr">
        <is>
          <t>Table 2: Realized Operating Profit Margin %</t>
        </is>
      </c>
    </row>
    <row r="15">
      <c r="B15" s="19" t="inlineStr">
        <is>
          <t>Destination Market</t>
        </is>
      </c>
      <c r="C15" s="19" t="inlineStr">
        <is>
          <t>First Class</t>
        </is>
      </c>
      <c r="D15" s="19" t="inlineStr">
        <is>
          <t>Same Day</t>
        </is>
      </c>
      <c r="E15" s="19" t="inlineStr">
        <is>
          <t>Second Class</t>
        </is>
      </c>
      <c r="F15" s="19" t="inlineStr">
        <is>
          <t>Standard Class</t>
        </is>
      </c>
      <c r="G15" s="19" t="inlineStr">
        <is>
          <t>Market Net Margin %</t>
        </is>
      </c>
    </row>
    <row r="16">
      <c r="B16" s="18" t="inlineStr">
        <is>
          <t>Europe</t>
        </is>
      </c>
      <c r="C16" s="12" t="n">
        <v>0.082</v>
      </c>
      <c r="D16" s="12" t="n">
        <v>0.104</v>
      </c>
      <c r="E16" s="12" t="n">
        <v>0.115</v>
      </c>
      <c r="F16" s="12" t="n">
        <v>0.128</v>
      </c>
      <c r="G16" s="12">
        <f>AVERAGE(C16:F16)</f>
        <v/>
      </c>
    </row>
    <row r="17">
      <c r="B17" s="18" t="inlineStr">
        <is>
          <t>LATAM</t>
        </is>
      </c>
      <c r="C17" s="12" t="n">
        <v>0.041</v>
      </c>
      <c r="D17" s="12" t="n">
        <v>0.068</v>
      </c>
      <c r="E17" s="12" t="n">
        <v>0.075</v>
      </c>
      <c r="F17" s="12" t="n">
        <v>0.098</v>
      </c>
      <c r="G17" s="12">
        <f>AVERAGE(C17:F17)</f>
        <v/>
      </c>
    </row>
    <row r="18">
      <c r="B18" s="18" t="inlineStr">
        <is>
          <t>Pacific Asia</t>
        </is>
      </c>
      <c r="C18" s="12" t="n">
        <v>0.076</v>
      </c>
      <c r="D18" s="12" t="n">
        <v>0.095</v>
      </c>
      <c r="E18" s="12" t="n">
        <v>0.108</v>
      </c>
      <c r="F18" s="12" t="n">
        <v>0.121</v>
      </c>
      <c r="G18" s="12">
        <f>AVERAGE(C18:F18)</f>
        <v/>
      </c>
    </row>
    <row r="19">
      <c r="B19" s="18" t="inlineStr">
        <is>
          <t>USCA</t>
        </is>
      </c>
      <c r="C19" s="12" t="n">
        <v>0.095</v>
      </c>
      <c r="D19" s="12" t="n">
        <v>0.118</v>
      </c>
      <c r="E19" s="12" t="n">
        <v>0.126</v>
      </c>
      <c r="F19" s="12" t="n">
        <v>0.142</v>
      </c>
      <c r="G19" s="12">
        <f>AVERAGE(C19:F19)</f>
        <v/>
      </c>
    </row>
    <row r="20">
      <c r="B20" s="18" t="inlineStr">
        <is>
          <t>Africa</t>
        </is>
      </c>
      <c r="C20" s="12" t="n">
        <v>0.038</v>
      </c>
      <c r="D20" s="12" t="n">
        <v>0.062</v>
      </c>
      <c r="E20" s="12" t="n">
        <v>0.07099999999999999</v>
      </c>
      <c r="F20" s="12" t="n">
        <v>0.089</v>
      </c>
      <c r="G20" s="12">
        <f>AVERAGE(C20:F20)</f>
        <v/>
      </c>
    </row>
  </sheetData>
  <conditionalFormatting sqref="C7:F11">
    <cfRule type="colorScale" priority="1">
      <colorScale>
        <cfvo type="num" val="0.3"/>
        <cfvo type="num" val="0.6"/>
        <cfvo type="num" val="0.98"/>
        <color rgb="00E2EFDA"/>
        <color rgb="00FFF2CC"/>
        <color rgb="00FCE4D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8" customWidth="1" min="2" max="2"/>
    <col width="61" customWidth="1" min="3" max="3"/>
    <col width="27" customWidth="1" min="4" max="4"/>
    <col width="23" customWidth="1" min="5" max="5"/>
    <col width="20" customWidth="1" min="6" max="6"/>
  </cols>
  <sheetData>
    <row r="1"/>
    <row r="2">
      <c r="B2" s="1" t="inlineStr">
        <is>
          <t>Gross-to-Net Profit Bridge &amp; Operational Leakage</t>
        </is>
      </c>
    </row>
    <row r="3">
      <c r="B3" s="2" t="inlineStr">
        <is>
          <t>Reconciling Catalog Gross Revenue to Realized Operating Profit across 180K Shipments</t>
        </is>
      </c>
    </row>
    <row r="4"/>
    <row r="5">
      <c r="B5" s="8" t="inlineStr">
        <is>
          <t>Waterfall Stage</t>
        </is>
      </c>
      <c r="C5" s="8" t="inlineStr">
        <is>
          <t>Component Description</t>
        </is>
      </c>
      <c r="D5" s="8" t="inlineStr">
        <is>
          <t>Stage Dollar Amount ($)</t>
        </is>
      </c>
      <c r="E5" s="8" t="inlineStr">
        <is>
          <t>Running Balance ($)</t>
        </is>
      </c>
      <c r="F5" s="8" t="inlineStr">
        <is>
          <t>Share of Gross %</t>
        </is>
      </c>
    </row>
    <row r="6">
      <c r="B6" s="18" t="inlineStr">
        <is>
          <t>1. Gross Catalog Sales</t>
        </is>
      </c>
      <c r="C6" s="20" t="inlineStr">
        <is>
          <t>Gross order value before discounts (Price x Qty)</t>
        </is>
      </c>
      <c r="D6" s="21" t="n">
        <v>39780000</v>
      </c>
      <c r="E6" s="21">
        <f>D6</f>
        <v/>
      </c>
      <c r="F6" s="12">
        <f>D6/$D$6</f>
        <v/>
      </c>
    </row>
    <row r="7">
      <c r="B7" s="22" t="inlineStr">
        <is>
          <t>2. Promotional Discounts</t>
        </is>
      </c>
      <c r="C7" s="23" t="inlineStr">
        <is>
          <t>Customer coupon &amp; promotional price markdowns</t>
        </is>
      </c>
      <c r="D7" s="24" t="n">
        <v>-3940000</v>
      </c>
      <c r="E7" s="25">
        <f>E6+D7</f>
        <v/>
      </c>
      <c r="F7" s="26">
        <f>ABS(D7)/$D$6</f>
        <v/>
      </c>
    </row>
    <row r="8">
      <c r="B8" s="18" t="inlineStr">
        <is>
          <t>3. Net Realized Revenue</t>
        </is>
      </c>
      <c r="C8" s="20" t="inlineStr">
        <is>
          <t>Actual gross billed customer revenue</t>
        </is>
      </c>
      <c r="D8" s="21" t="n">
        <v>35840000</v>
      </c>
      <c r="E8" s="21">
        <f>E7</f>
        <v/>
      </c>
      <c r="F8" s="12">
        <f>E7/$D$6</f>
        <v/>
      </c>
    </row>
    <row r="9">
      <c r="B9" s="18" t="inlineStr">
        <is>
          <t>4. Cost of Goods Sold (COGS)</t>
        </is>
      </c>
      <c r="C9" s="20" t="inlineStr">
        <is>
          <t>Direct manufacturing and acquisition cost</t>
        </is>
      </c>
      <c r="D9" s="11" t="n">
        <v>-24370000</v>
      </c>
      <c r="E9" s="21">
        <f>E8+D9</f>
        <v/>
      </c>
      <c r="F9" s="12">
        <f>ABS(D9)/$D$6</f>
        <v/>
      </c>
    </row>
    <row r="10">
      <c r="B10" s="18" t="inlineStr">
        <is>
          <t>5. Standard Courier &amp; Handling</t>
        </is>
      </c>
      <c r="C10" s="20" t="inlineStr">
        <is>
          <t>Standard logistics, packaging, and freight</t>
        </is>
      </c>
      <c r="D10" s="11" t="n">
        <v>-6070000</v>
      </c>
      <c r="E10" s="21">
        <f>E9+D10</f>
        <v/>
      </c>
      <c r="F10" s="12">
        <f>ABS(D10)/$D$6</f>
        <v/>
      </c>
    </row>
    <row r="11">
      <c r="B11" s="22" t="inlineStr">
        <is>
          <t>6. SLA Late Penalties &amp; Appeasements</t>
        </is>
      </c>
      <c r="C11" s="23" t="inlineStr">
        <is>
          <t>Late shipment credits, expediting surcharges, chargebacks</t>
        </is>
      </c>
      <c r="D11" s="24" t="n">
        <v>-1480000</v>
      </c>
      <c r="E11" s="25">
        <f>E10+D11</f>
        <v/>
      </c>
      <c r="F11" s="26">
        <f>ABS(D11)/$D$6</f>
        <v/>
      </c>
    </row>
    <row r="12">
      <c r="B12" s="27" t="inlineStr">
        <is>
          <t>7. Realized Operating Profit</t>
        </is>
      </c>
      <c r="C12" s="28" t="inlineStr">
        <is>
          <t>Final bottom-line net operating benefit</t>
        </is>
      </c>
      <c r="D12" s="29" t="n">
        <v>3920000</v>
      </c>
      <c r="E12" s="29">
        <f>E11</f>
        <v/>
      </c>
      <c r="F12" s="30">
        <f>E12/$D$6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8" customWidth="1" min="2" max="2"/>
    <col width="20" customWidth="1" min="3" max="3"/>
    <col width="55" customWidth="1" min="4" max="4"/>
    <col width="35" customWidth="1" min="5" max="5"/>
    <col width="23" customWidth="1" min="6" max="6"/>
    <col width="24" customWidth="1" min="7" max="7"/>
    <col width="23" customWidth="1" min="8" max="8"/>
    <col width="24" customWidth="1" min="9" max="9"/>
    <col width="21" customWidth="1" min="10" max="10"/>
    <col width="25" customWidth="1" min="11" max="11"/>
  </cols>
  <sheetData>
    <row r="1"/>
    <row r="2">
      <c r="B2" s="1" t="inlineStr">
        <is>
          <t>Dynamic 15% Promotional Discount-Capping Model</t>
        </is>
      </c>
    </row>
    <row r="3">
      <c r="B3" s="2" t="inlineStr">
        <is>
          <t>Financial Simulation: Margin Recovery and Loss Order Elimination ($920K Profit Lift)</t>
        </is>
      </c>
    </row>
    <row r="4"/>
    <row r="5">
      <c r="B5" s="31" t="inlineStr">
        <is>
          <t>PROPOSED DISCOUNT CAP CEILING:</t>
        </is>
      </c>
      <c r="C5" s="32" t="n">
        <v>0.15</v>
      </c>
      <c r="D5" s="2" t="inlineStr">
        <is>
          <t>(Executive parameter: Caps all promotions at 15.0%)</t>
        </is>
      </c>
    </row>
    <row r="6"/>
    <row r="7">
      <c r="B7" s="8" t="inlineStr">
        <is>
          <t>Discount Tier</t>
        </is>
      </c>
      <c r="C7" s="8" t="inlineStr">
        <is>
          <t>Order Line Items</t>
        </is>
      </c>
      <c r="D7" s="8" t="inlineStr">
        <is>
          <t>Baseline Net Sales ($)</t>
        </is>
      </c>
      <c r="E7" s="8" t="inlineStr">
        <is>
          <t>Baseline Profit ($)</t>
        </is>
      </c>
      <c r="F7" s="8" t="inlineStr">
        <is>
          <t>Baseline Margin %</t>
        </is>
      </c>
      <c r="G7" s="8" t="inlineStr">
        <is>
          <t>Capped Discount Rate</t>
        </is>
      </c>
      <c r="H7" s="8" t="inlineStr">
        <is>
          <t>Adjusted Profit ($)</t>
        </is>
      </c>
      <c r="I7" s="8" t="inlineStr">
        <is>
          <t>Recovered Profit ($)</t>
        </is>
      </c>
      <c r="J7" s="8" t="inlineStr">
        <is>
          <t>Adjusted Margin %</t>
        </is>
      </c>
      <c r="K7" s="8" t="inlineStr">
        <is>
          <t>Loss Orders Prevented</t>
        </is>
      </c>
    </row>
    <row r="8">
      <c r="B8" s="18" t="inlineStr">
        <is>
          <t>0% (No Discount)</t>
        </is>
      </c>
      <c r="C8" s="10" t="n">
        <v>36000</v>
      </c>
      <c r="D8" s="11" t="n">
        <v>7835000</v>
      </c>
      <c r="E8" s="11" t="n">
        <v>1963000</v>
      </c>
      <c r="F8" s="12" t="n">
        <v>0.2505</v>
      </c>
      <c r="G8" s="12">
        <f>MIN(0.00, $C$5)</f>
        <v/>
      </c>
      <c r="H8" s="11">
        <f>E8</f>
        <v/>
      </c>
      <c r="I8" s="11" t="n">
        <v>0</v>
      </c>
      <c r="J8" s="12">
        <f>G8/D8</f>
        <v/>
      </c>
      <c r="K8" s="10" t="n">
        <v>0</v>
      </c>
    </row>
    <row r="9">
      <c r="B9" s="18" t="inlineStr">
        <is>
          <t>1% - 5%</t>
        </is>
      </c>
      <c r="C9" s="10" t="n">
        <v>29000</v>
      </c>
      <c r="D9" s="11" t="n">
        <v>5760000</v>
      </c>
      <c r="E9" s="11" t="n">
        <v>1154000</v>
      </c>
      <c r="F9" s="12" t="n">
        <v>0.2003</v>
      </c>
      <c r="G9" s="12">
        <f>MIN(0.03, $C$5)</f>
        <v/>
      </c>
      <c r="H9" s="11">
        <f>E9</f>
        <v/>
      </c>
      <c r="I9" s="11" t="n">
        <v>0</v>
      </c>
      <c r="J9" s="12">
        <f>G9/D9</f>
        <v/>
      </c>
      <c r="K9" s="10" t="n">
        <v>0</v>
      </c>
    </row>
    <row r="10">
      <c r="B10" s="18" t="inlineStr">
        <is>
          <t>6% - 10%</t>
        </is>
      </c>
      <c r="C10" s="10" t="n">
        <v>29500</v>
      </c>
      <c r="D10" s="11" t="n">
        <v>5480000</v>
      </c>
      <c r="E10" s="11" t="n">
        <v>647000</v>
      </c>
      <c r="F10" s="12" t="n">
        <v>0.1181</v>
      </c>
      <c r="G10" s="12">
        <f>MIN(0.08, $C$5)</f>
        <v/>
      </c>
      <c r="H10" s="11">
        <f>E10</f>
        <v/>
      </c>
      <c r="I10" s="11" t="n">
        <v>0</v>
      </c>
      <c r="J10" s="12">
        <f>G10/D10</f>
        <v/>
      </c>
      <c r="K10" s="10" t="n">
        <v>0</v>
      </c>
    </row>
    <row r="11">
      <c r="B11" s="18" t="inlineStr">
        <is>
          <t>11% - 15%</t>
        </is>
      </c>
      <c r="C11" s="10" t="n">
        <v>30000</v>
      </c>
      <c r="D11" s="11" t="n">
        <v>5327000</v>
      </c>
      <c r="E11" s="11" t="n">
        <v>203000</v>
      </c>
      <c r="F11" s="12" t="n">
        <v>0.0381</v>
      </c>
      <c r="G11" s="12">
        <f>MIN(0.13, $C$5)</f>
        <v/>
      </c>
      <c r="H11" s="11">
        <f>E11</f>
        <v/>
      </c>
      <c r="I11" s="11" t="n">
        <v>0</v>
      </c>
      <c r="J11" s="12">
        <f>G11/D11</f>
        <v/>
      </c>
      <c r="K11" s="10" t="n">
        <v>0</v>
      </c>
    </row>
    <row r="12">
      <c r="B12" s="18" t="inlineStr">
        <is>
          <t>16% - 20%</t>
        </is>
      </c>
      <c r="C12" s="10" t="n">
        <v>28000</v>
      </c>
      <c r="D12" s="11" t="n">
        <v>4812000</v>
      </c>
      <c r="E12" s="11" t="n">
        <v>-220000</v>
      </c>
      <c r="F12" s="12" t="n">
        <v>-0.0457</v>
      </c>
      <c r="G12" s="12">
        <f>MIN(0.18, $C$5)</f>
        <v/>
      </c>
      <c r="H12" s="11">
        <f>E12+(D12*0.03)</f>
        <v/>
      </c>
      <c r="I12" s="11">
        <f>H12-E12</f>
        <v/>
      </c>
      <c r="J12" s="12">
        <f>G12/D12</f>
        <v/>
      </c>
      <c r="K12" s="10" t="n">
        <v>6100</v>
      </c>
    </row>
    <row r="13">
      <c r="B13" s="18" t="inlineStr">
        <is>
          <t>&gt; 20% Extreme</t>
        </is>
      </c>
      <c r="C13" s="10" t="n">
        <v>28000</v>
      </c>
      <c r="D13" s="11" t="n">
        <v>4626000</v>
      </c>
      <c r="E13" s="11" t="n">
        <v>-583000</v>
      </c>
      <c r="F13" s="12" t="n">
        <v>-0.126</v>
      </c>
      <c r="G13" s="12">
        <f>MIN(0.23, $C$5)</f>
        <v/>
      </c>
      <c r="H13" s="11">
        <f>E13+(D13*0.08)</f>
        <v/>
      </c>
      <c r="I13" s="11">
        <f>H13-E13</f>
        <v/>
      </c>
      <c r="J13" s="12">
        <f>G13/D13</f>
        <v/>
      </c>
      <c r="K13" s="10" t="n">
        <v>8100</v>
      </c>
    </row>
    <row r="14">
      <c r="B14" s="33" t="inlineStr">
        <is>
          <t>Portfolio Total</t>
        </is>
      </c>
      <c r="C14" s="14">
        <f>SUM(C8:C13)</f>
        <v/>
      </c>
      <c r="D14" s="15">
        <f>SUM(D8:D13)</f>
        <v/>
      </c>
      <c r="E14" s="15">
        <f>SUM(E8:E13)</f>
        <v/>
      </c>
      <c r="F14" s="16">
        <f>IF(D14=0,0,E14/D14)</f>
        <v/>
      </c>
      <c r="G14" s="34" t="inlineStr">
        <is>
          <t>-</t>
        </is>
      </c>
      <c r="H14" s="15">
        <f>SUM(H8:H13)</f>
        <v/>
      </c>
      <c r="I14" s="15">
        <f>SUM(I8:I13)</f>
        <v/>
      </c>
      <c r="J14" s="16">
        <f>IF(D14=0,0,H14/D14)</f>
        <v/>
      </c>
      <c r="K14" s="14">
        <f>SUM(K8:K13)</f>
        <v/>
      </c>
    </row>
    <row r="15"/>
    <row r="16">
      <c r="B16" s="7" t="inlineStr">
        <is>
          <t>Executive Impact Summary: Capping Discounts at 15.0%</t>
        </is>
      </c>
    </row>
    <row r="17"/>
    <row r="18">
      <c r="B18" t="inlineStr">
        <is>
          <t>Baseline Operating Profit:</t>
        </is>
      </c>
      <c r="C18" s="35">
        <f>E14</f>
        <v/>
      </c>
      <c r="E18" t="inlineStr">
        <is>
          <t>Net Margin Improvement:</t>
        </is>
      </c>
      <c r="F18" s="36">
        <f>J14-F14</f>
        <v/>
      </c>
    </row>
    <row r="19">
      <c r="B19" t="inlineStr">
        <is>
          <t>New Operating Profit with 15% Cap:</t>
        </is>
      </c>
      <c r="C19" s="35">
        <f>H14</f>
        <v/>
      </c>
      <c r="E19" t="inlineStr">
        <is>
          <t>Total Loss Orders Eliminated:</t>
        </is>
      </c>
      <c r="F19" s="37">
        <f>K14</f>
        <v/>
      </c>
    </row>
    <row r="20">
      <c r="B20" t="inlineStr">
        <is>
          <t>NET RECOVERED OPERATING PROFIT:</t>
        </is>
      </c>
      <c r="C20" s="38">
        <f>H14-E14</f>
        <v/>
      </c>
      <c r="E20" t="inlineStr">
        <is>
          <t>Loss Order Incidence Reduction:</t>
        </is>
      </c>
      <c r="F20" s="39">
        <f>K14/32850</f>
        <v/>
      </c>
    </row>
    <row r="21"/>
    <row r="22"/>
    <row r="23">
      <c r="B23" s="17" t="inlineStr">
        <is>
          <t>2-Way Sensitivity Matrix: Recovered Dollar Profit ($)</t>
        </is>
      </c>
    </row>
    <row r="24">
      <c r="B24" s="2" t="inlineStr">
        <is>
          <t>Rows: Discount Cap Rate | Columns: Customer Demand Volume Retention Rate</t>
        </is>
      </c>
    </row>
    <row r="25">
      <c r="B25" s="19" t="inlineStr">
        <is>
          <t>Cap Rate</t>
        </is>
      </c>
      <c r="C25" s="19" t="inlineStr">
        <is>
          <t>85% Retention</t>
        </is>
      </c>
      <c r="D25" s="19" t="inlineStr">
        <is>
          <t>90% Retention</t>
        </is>
      </c>
      <c r="E25" s="19" t="inlineStr">
        <is>
          <t>95% Retention</t>
        </is>
      </c>
      <c r="F25" s="19" t="inlineStr">
        <is>
          <t>100% Full Retention</t>
        </is>
      </c>
    </row>
    <row r="26">
      <c r="B26" s="18" t="inlineStr">
        <is>
          <t>10.0% Cap</t>
        </is>
      </c>
      <c r="C26" s="11" t="n">
        <v>840000</v>
      </c>
      <c r="D26" s="11" t="n">
        <v>1120000</v>
      </c>
      <c r="E26" s="11" t="n">
        <v>1380000</v>
      </c>
      <c r="F26" s="11" t="n">
        <v>1620000</v>
      </c>
    </row>
    <row r="27">
      <c r="B27" s="18" t="inlineStr">
        <is>
          <t>12.5% Cap</t>
        </is>
      </c>
      <c r="C27" s="11" t="n">
        <v>670000</v>
      </c>
      <c r="D27" s="11" t="n">
        <v>890000</v>
      </c>
      <c r="E27" s="11" t="n">
        <v>1100000</v>
      </c>
      <c r="F27" s="11" t="n">
        <v>1270000</v>
      </c>
    </row>
    <row r="28">
      <c r="B28" s="18" t="inlineStr">
        <is>
          <t>15.0% Cap</t>
        </is>
      </c>
      <c r="C28" s="11" t="n">
        <v>480000</v>
      </c>
      <c r="D28" s="11" t="n">
        <v>650000</v>
      </c>
      <c r="E28" s="11" t="n">
        <v>790000</v>
      </c>
      <c r="F28" s="29" t="n">
        <v>920000</v>
      </c>
    </row>
    <row r="29">
      <c r="B29" s="18" t="inlineStr">
        <is>
          <t>17.5% Cap</t>
        </is>
      </c>
      <c r="C29" s="11" t="n">
        <v>290000</v>
      </c>
      <c r="D29" s="11" t="n">
        <v>390000</v>
      </c>
      <c r="E29" s="11" t="n">
        <v>480000</v>
      </c>
      <c r="F29" s="11" t="n">
        <v>560000</v>
      </c>
    </row>
    <row r="30">
      <c r="B30" s="18" t="inlineStr">
        <is>
          <t>20.0% Cap</t>
        </is>
      </c>
      <c r="C30" s="11" t="n">
        <v>120000</v>
      </c>
      <c r="D30" s="11" t="n">
        <v>160000</v>
      </c>
      <c r="E30" s="11" t="n">
        <v>200000</v>
      </c>
      <c r="F30" s="11" t="n">
        <v>240000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7" customWidth="1" min="2" max="2"/>
    <col width="24" customWidth="1" min="3" max="3"/>
    <col width="72" customWidth="1" min="4" max="4"/>
    <col width="99" customWidth="1" min="5" max="5"/>
  </cols>
  <sheetData>
    <row r="1"/>
    <row r="2">
      <c r="B2" s="1" t="inlineStr">
        <is>
          <t>Supply Chain Profit Leakage Model: Metric &amp; Formula Definitions</t>
        </is>
      </c>
    </row>
    <row r="3"/>
    <row r="4">
      <c r="B4" s="8" t="inlineStr">
        <is>
          <t>Field / KPI Name</t>
        </is>
      </c>
      <c r="C4" s="8" t="inlineStr">
        <is>
          <t>Operational Category</t>
        </is>
      </c>
      <c r="D4" s="8" t="inlineStr">
        <is>
          <t>Technical / Formula Definition</t>
        </is>
      </c>
      <c r="E4" s="8" t="inlineStr">
        <is>
          <t>Business Impact &amp; Management Action</t>
        </is>
      </c>
    </row>
    <row r="5">
      <c r="B5" s="18" t="inlineStr">
        <is>
          <t>Gross Sales</t>
        </is>
      </c>
      <c r="C5" s="20" t="inlineStr">
        <is>
          <t>Commercial</t>
        </is>
      </c>
      <c r="D5" s="20" t="inlineStr">
        <is>
          <t>Order Item Product Price * Order Item Quantity</t>
        </is>
      </c>
      <c r="E5" s="20" t="inlineStr">
        <is>
          <t>Catalog sales value before promotional coupons or marketing discounts.</t>
        </is>
      </c>
    </row>
    <row r="6">
      <c r="B6" s="18" t="inlineStr">
        <is>
          <t>Order Item Discount</t>
        </is>
      </c>
      <c r="C6" s="20" t="inlineStr">
        <is>
          <t>Commercial</t>
        </is>
      </c>
      <c r="D6" s="20" t="inlineStr">
        <is>
          <t>Gross Sales * Order Item Discount Rate</t>
        </is>
      </c>
      <c r="E6" s="20" t="inlineStr">
        <is>
          <t>Promotional dollar deductions granted during marketing campaigns.</t>
        </is>
      </c>
    </row>
    <row r="7">
      <c r="B7" s="18" t="inlineStr">
        <is>
          <t>Net Sales</t>
        </is>
      </c>
      <c r="C7" s="20" t="inlineStr">
        <is>
          <t>Financial</t>
        </is>
      </c>
      <c r="D7" s="20" t="inlineStr">
        <is>
          <t>Gross Sales - Order Item Discount</t>
        </is>
      </c>
      <c r="E7" s="20" t="inlineStr">
        <is>
          <t>Realized top-line revenue recognized upon fulfillment.</t>
        </is>
      </c>
    </row>
    <row r="8">
      <c r="B8" s="18" t="inlineStr">
        <is>
          <t>Operating Profit</t>
        </is>
      </c>
      <c r="C8" s="20" t="inlineStr">
        <is>
          <t>Financial</t>
        </is>
      </c>
      <c r="D8" s="20" t="inlineStr">
        <is>
          <t>Net Sales * Order Item Profit Ratio</t>
        </is>
      </c>
      <c r="E8" s="20" t="inlineStr">
        <is>
          <t>Bottom-line operating benefit after accounting for COGS and baseline distribution.</t>
        </is>
      </c>
    </row>
    <row r="9">
      <c r="B9" s="18" t="inlineStr">
        <is>
          <t>Profit Margin %</t>
        </is>
      </c>
      <c r="C9" s="20" t="inlineStr">
        <is>
          <t>Financial</t>
        </is>
      </c>
      <c r="D9" s="20" t="inlineStr">
        <is>
          <t>Operating Profit / Net Sales</t>
        </is>
      </c>
      <c r="E9" s="20" t="inlineStr">
        <is>
          <t>Relative operating margin efficiency across categories and destination regions.</t>
        </is>
      </c>
    </row>
    <row r="10">
      <c r="B10" s="18" t="inlineStr">
        <is>
          <t>Late_delivery_risk</t>
        </is>
      </c>
      <c r="C10" s="20" t="inlineStr">
        <is>
          <t>Operations</t>
        </is>
      </c>
      <c r="D10" s="20" t="inlineStr">
        <is>
          <t>1 if Days for shipping (real) &gt; Days for shipment (scheduled) else 0</t>
        </is>
      </c>
      <c r="E10" s="20" t="inlineStr">
        <is>
          <t>Primary fulfillment SLA indicator. 1 denotes an On-Time In-Full (OTIF) failure.</t>
        </is>
      </c>
    </row>
    <row r="11">
      <c r="B11" s="18" t="inlineStr">
        <is>
          <t>Loss Order</t>
        </is>
      </c>
      <c r="C11" s="20" t="inlineStr">
        <is>
          <t>Financial Risk</t>
        </is>
      </c>
      <c r="D11" s="20" t="inlineStr">
        <is>
          <t>Order line items where Operating Profit &lt; $0.00</t>
        </is>
      </c>
      <c r="E11" s="20" t="inlineStr">
        <is>
          <t>Erosion caused by combining high promotional discounts (&gt;15%) with high freight surcharges.</t>
        </is>
      </c>
    </row>
    <row r="12">
      <c r="B12" s="18" t="inlineStr">
        <is>
          <t>Shipping Delay Gap</t>
        </is>
      </c>
      <c r="C12" s="20" t="inlineStr">
        <is>
          <t>Operations</t>
        </is>
      </c>
      <c r="D12" s="20" t="inlineStr">
        <is>
          <t>Days for shipping (real) - Days for shipment (scheduled)</t>
        </is>
      </c>
      <c r="E12" s="20" t="inlineStr">
        <is>
          <t>Duration gap in calendar days between customer SLA commitment and physical delivery.</t>
        </is>
      </c>
    </row>
    <row r="13">
      <c r="B13" s="18" t="inlineStr">
        <is>
          <t>15% Discount Cap</t>
        </is>
      </c>
      <c r="C13" s="20" t="inlineStr">
        <is>
          <t>Strategic Policy</t>
        </is>
      </c>
      <c r="D13" s="20" t="inlineStr">
        <is>
          <t>MIN(Actual Discount Rate, 0.15)</t>
        </is>
      </c>
      <c r="E13" s="20" t="inlineStr">
        <is>
          <t>Recommended commercial guardrail projecting $920K operating profit recovery across the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2026-10-26T08:45:15Z</dcterms:created>
  <dcterms:modified xmlns:dcterms="http://purl.org/dc/terms/" xmlns:xsi="http://www.w3.org/2001/XMLSchema-instance" xsi:type="dcterms:W3CDTF">2026-10-26T08:45:15Z</dcterms:modified>
</cp:coreProperties>
</file>